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_Engineering\01_Projects\13_450_V_Module_RevEng\CAD\StepUp_module_12to450V\Supporting docs\"/>
    </mc:Choice>
  </mc:AlternateContent>
  <xr:revisionPtr revIDLastSave="0" documentId="8_{0973FB84-1FA2-4E94-831E-73376ED95C92}" xr6:coauthVersionLast="47" xr6:coauthVersionMax="47" xr10:uidLastSave="{00000000-0000-0000-0000-000000000000}"/>
  <bookViews>
    <workbookView xWindow="-120" yWindow="-120" windowWidth="29040" windowHeight="15720" activeTab="1" xr2:uid="{7C8C82A3-8BD0-447F-B962-8EBCD0F516FF}"/>
  </bookViews>
  <sheets>
    <sheet name="Waveforms" sheetId="1" r:id="rId1"/>
    <sheet name="Transformer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2" l="1"/>
  <c r="B43" i="2"/>
  <c r="B42" i="2"/>
  <c r="B41" i="2"/>
  <c r="B40" i="2"/>
  <c r="B39" i="2"/>
  <c r="E6" i="2"/>
  <c r="D6" i="2"/>
  <c r="C6" i="2"/>
  <c r="E39" i="2"/>
  <c r="E40" i="2"/>
  <c r="E41" i="2"/>
  <c r="E42" i="2"/>
  <c r="E43" i="2"/>
  <c r="E44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G41" i="2" l="1"/>
  <c r="G40" i="2"/>
  <c r="G44" i="2"/>
  <c r="G43" i="2"/>
  <c r="H43" i="2" l="1"/>
  <c r="I43" i="2" s="1"/>
  <c r="H44" i="2"/>
  <c r="I4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</author>
  </authors>
  <commentList>
    <comment ref="B9" authorId="0" shapeId="0" xr:uid="{DEE017E5-D9B3-44F2-A2F8-951B7B91C8C4}">
      <text>
        <r>
          <rPr>
            <b/>
            <sz val="9"/>
            <color indexed="81"/>
            <rFont val="Tahoma"/>
            <family val="2"/>
          </rPr>
          <t>Felipe:</t>
        </r>
        <r>
          <rPr>
            <sz val="9"/>
            <color indexed="81"/>
            <rFont val="Tahoma"/>
            <family val="2"/>
          </rPr>
          <t xml:space="preserve">
Applied AC peak voltage (sine)</t>
        </r>
      </text>
    </comment>
    <comment ref="B10" authorId="0" shapeId="0" xr:uid="{B671A9A7-FC65-4380-8B11-6B9A7F8F41B2}">
      <text>
        <r>
          <rPr>
            <b/>
            <sz val="9"/>
            <color indexed="81"/>
            <rFont val="Tahoma"/>
            <family val="2"/>
          </rPr>
          <t>Felipe:</t>
        </r>
        <r>
          <rPr>
            <sz val="9"/>
            <color indexed="81"/>
            <rFont val="Tahoma"/>
            <family val="2"/>
          </rPr>
          <t xml:space="preserve">
Measured AC peak voltage (sine)</t>
        </r>
      </text>
    </comment>
    <comment ref="B38" authorId="0" shapeId="0" xr:uid="{AFCF9CE1-CEAC-45AD-9CA1-4B4FF41D4D3C}">
      <text>
        <r>
          <rPr>
            <b/>
            <sz val="9"/>
            <color indexed="81"/>
            <rFont val="Tahoma"/>
            <family val="2"/>
          </rPr>
          <t>Felipe: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8" authorId="0" shapeId="0" xr:uid="{20AA396C-6AB8-4E46-8132-55954E3E8A07}">
      <text>
        <r>
          <rPr>
            <b/>
            <sz val="9"/>
            <color indexed="81"/>
            <rFont val="Tahoma"/>
            <family val="2"/>
          </rPr>
          <t>Felipe:</t>
        </r>
        <r>
          <rPr>
            <sz val="9"/>
            <color indexed="81"/>
            <rFont val="Tahoma"/>
            <family val="2"/>
          </rPr>
          <t xml:space="preserve">
Capacitor added to the circuit (measured value)</t>
        </r>
      </text>
    </comment>
    <comment ref="D38" authorId="0" shapeId="0" xr:uid="{6B48BAB4-9A82-40F1-8B32-9E07EAD88D4A}">
      <text>
        <r>
          <rPr>
            <b/>
            <sz val="9"/>
            <color indexed="81"/>
            <rFont val="Tahoma"/>
            <family val="2"/>
          </rPr>
          <t>Felipe:</t>
        </r>
        <r>
          <rPr>
            <sz val="9"/>
            <color indexed="81"/>
            <rFont val="Tahoma"/>
            <family val="2"/>
          </rPr>
          <t xml:space="preserve">
Ressonance frequency measured after application of stimuli</t>
        </r>
      </text>
    </comment>
    <comment ref="E38" authorId="0" shapeId="0" xr:uid="{ABB95D0A-5860-4D6E-A9B9-50A664E23DA2}">
      <text>
        <r>
          <rPr>
            <b/>
            <sz val="9"/>
            <color indexed="81"/>
            <rFont val="Tahoma"/>
            <family val="2"/>
          </rPr>
          <t>Felipe:</t>
        </r>
        <r>
          <rPr>
            <sz val="9"/>
            <color indexed="81"/>
            <rFont val="Tahoma"/>
            <family val="2"/>
          </rPr>
          <t xml:space="preserve">
Calculated inductance</t>
        </r>
      </text>
    </comment>
  </commentList>
</comments>
</file>

<file path=xl/sharedStrings.xml><?xml version="1.0" encoding="utf-8"?>
<sst xmlns="http://schemas.openxmlformats.org/spreadsheetml/2006/main" count="36" uniqueCount="30">
  <si>
    <t>Ch</t>
  </si>
  <si>
    <t>Node</t>
  </si>
  <si>
    <t>D4 anode</t>
  </si>
  <si>
    <t>Q1 drain</t>
  </si>
  <si>
    <t>Q1 source</t>
  </si>
  <si>
    <t>U1 pin 4</t>
  </si>
  <si>
    <t>Vin [V]</t>
  </si>
  <si>
    <t>Vout [V]</t>
  </si>
  <si>
    <t>Iin[A]</t>
  </si>
  <si>
    <r>
      <t>Load [k</t>
    </r>
    <r>
      <rPr>
        <b/>
        <sz val="11"/>
        <color theme="1"/>
        <rFont val="Calibri"/>
        <family val="2"/>
      </rPr>
      <t>Ω]</t>
    </r>
  </si>
  <si>
    <t>Pri</t>
  </si>
  <si>
    <t>Sec</t>
  </si>
  <si>
    <t>Winding</t>
  </si>
  <si>
    <t>Lratio</t>
  </si>
  <si>
    <t>Primary</t>
  </si>
  <si>
    <t>Secondary</t>
  </si>
  <si>
    <t>Measured drop [mV]</t>
  </si>
  <si>
    <t>Calculated resistance [mΩ]</t>
  </si>
  <si>
    <t>Applied current [A]</t>
  </si>
  <si>
    <t>Primary [V]</t>
  </si>
  <si>
    <t>Secondary [V]</t>
  </si>
  <si>
    <t>Frequency [kHz]</t>
  </si>
  <si>
    <t>Turns ratio</t>
  </si>
  <si>
    <t>RLC ressonance (R in series):</t>
  </si>
  <si>
    <t>F [kHz]</t>
  </si>
  <si>
    <r>
      <t>Rs [m</t>
    </r>
    <r>
      <rPr>
        <b/>
        <sz val="11"/>
        <color theme="1"/>
        <rFont val="Calibri"/>
        <family val="2"/>
      </rPr>
      <t>Ω]</t>
    </r>
  </si>
  <si>
    <r>
      <t>C [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F]</t>
    </r>
  </si>
  <si>
    <r>
      <t>L [</t>
    </r>
    <r>
      <rPr>
        <b/>
        <sz val="11"/>
        <color theme="1"/>
        <rFont val="Calibri"/>
        <family val="2"/>
      </rPr>
      <t>µH</t>
    </r>
    <r>
      <rPr>
        <b/>
        <sz val="11"/>
        <color theme="1"/>
        <rFont val="Calibri"/>
        <family val="2"/>
        <scheme val="minor"/>
      </rPr>
      <t>]</t>
    </r>
  </si>
  <si>
    <r>
      <t>Lavg [</t>
    </r>
    <r>
      <rPr>
        <b/>
        <sz val="11"/>
        <color theme="1"/>
        <rFont val="Calibri"/>
        <family val="2"/>
      </rPr>
      <t>µH</t>
    </r>
    <r>
      <rPr>
        <b/>
        <sz val="11"/>
        <color theme="1"/>
        <rFont val="Calibri"/>
        <family val="2"/>
        <scheme val="minor"/>
      </rPr>
      <t>]</t>
    </r>
  </si>
  <si>
    <t>Turns ratio from Lratio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</si>
</sst>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336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1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FF"/>
      <color rgb="FFFF00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794157252082606E-2"/>
          <c:y val="4.0854224698235839E-2"/>
          <c:w val="0.86936555973981511"/>
          <c:h val="0.80212284049452032"/>
        </c:manualLayout>
      </c:layout>
      <c:scatterChart>
        <c:scatterStyle val="lineMarker"/>
        <c:varyColors val="0"/>
        <c:ser>
          <c:idx val="0"/>
          <c:order val="0"/>
          <c:tx>
            <c:strRef>
              <c:f>Transformer!$B$9</c:f>
              <c:strCache>
                <c:ptCount val="1"/>
                <c:pt idx="0">
                  <c:v>Primary [V]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Transformer!$C$8:$R$8</c:f>
              <c:numCache>
                <c:formatCode>0.00</c:formatCode>
                <c:ptCount val="16"/>
                <c:pt idx="0">
                  <c:v>49.92</c:v>
                </c:pt>
                <c:pt idx="1">
                  <c:v>59.783999999999999</c:v>
                </c:pt>
                <c:pt idx="2">
                  <c:v>69.911000000000001</c:v>
                </c:pt>
                <c:pt idx="3">
                  <c:v>80</c:v>
                </c:pt>
                <c:pt idx="4">
                  <c:v>89.82</c:v>
                </c:pt>
                <c:pt idx="5">
                  <c:v>100</c:v>
                </c:pt>
                <c:pt idx="6">
                  <c:v>110.02</c:v>
                </c:pt>
                <c:pt idx="7">
                  <c:v>119.93</c:v>
                </c:pt>
                <c:pt idx="8">
                  <c:v>130.21</c:v>
                </c:pt>
                <c:pt idx="9">
                  <c:v>140.1</c:v>
                </c:pt>
                <c:pt idx="10">
                  <c:v>149.97</c:v>
                </c:pt>
                <c:pt idx="11">
                  <c:v>160.31</c:v>
                </c:pt>
                <c:pt idx="12">
                  <c:v>169.87</c:v>
                </c:pt>
                <c:pt idx="13">
                  <c:v>179.79</c:v>
                </c:pt>
                <c:pt idx="14">
                  <c:v>189.9</c:v>
                </c:pt>
                <c:pt idx="15">
                  <c:v>199.96</c:v>
                </c:pt>
              </c:numCache>
            </c:numRef>
          </c:xVal>
          <c:yVal>
            <c:numRef>
              <c:f>Transformer!$C$9:$R$9</c:f>
              <c:numCache>
                <c:formatCode>0.00</c:formatCode>
                <c:ptCount val="16"/>
                <c:pt idx="0">
                  <c:v>5.4890000000000001E-2</c:v>
                </c:pt>
                <c:pt idx="1">
                  <c:v>6.6030000000000005E-2</c:v>
                </c:pt>
                <c:pt idx="2">
                  <c:v>7.7429999999999999E-2</c:v>
                </c:pt>
                <c:pt idx="3">
                  <c:v>8.8450000000000001E-2</c:v>
                </c:pt>
                <c:pt idx="4">
                  <c:v>0.10001</c:v>
                </c:pt>
                <c:pt idx="5">
                  <c:v>0.11064</c:v>
                </c:pt>
                <c:pt idx="6">
                  <c:v>0.12247</c:v>
                </c:pt>
                <c:pt idx="7">
                  <c:v>0.13466</c:v>
                </c:pt>
                <c:pt idx="8">
                  <c:v>0.14715</c:v>
                </c:pt>
                <c:pt idx="9">
                  <c:v>0.15998000000000001</c:v>
                </c:pt>
                <c:pt idx="10">
                  <c:v>0.17326</c:v>
                </c:pt>
                <c:pt idx="11">
                  <c:v>0.18701999999999999</c:v>
                </c:pt>
                <c:pt idx="12">
                  <c:v>0.20141000000000001</c:v>
                </c:pt>
                <c:pt idx="13">
                  <c:v>0.21648000000000001</c:v>
                </c:pt>
                <c:pt idx="14">
                  <c:v>0.23207</c:v>
                </c:pt>
                <c:pt idx="15">
                  <c:v>0.24840999999999999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DC-41D4-9D4E-49C17FE29315}"/>
            </c:ext>
          </c:extLst>
        </c:ser>
        <c:ser>
          <c:idx val="1"/>
          <c:order val="1"/>
          <c:tx>
            <c:strRef>
              <c:f>Transformer!$B$10</c:f>
              <c:strCache>
                <c:ptCount val="1"/>
                <c:pt idx="0">
                  <c:v>Secondary [V]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Transformer!$C$8:$R$8</c:f>
              <c:numCache>
                <c:formatCode>0.00</c:formatCode>
                <c:ptCount val="16"/>
                <c:pt idx="0">
                  <c:v>49.92</c:v>
                </c:pt>
                <c:pt idx="1">
                  <c:v>59.783999999999999</c:v>
                </c:pt>
                <c:pt idx="2">
                  <c:v>69.911000000000001</c:v>
                </c:pt>
                <c:pt idx="3">
                  <c:v>80</c:v>
                </c:pt>
                <c:pt idx="4">
                  <c:v>89.82</c:v>
                </c:pt>
                <c:pt idx="5">
                  <c:v>100</c:v>
                </c:pt>
                <c:pt idx="6">
                  <c:v>110.02</c:v>
                </c:pt>
                <c:pt idx="7">
                  <c:v>119.93</c:v>
                </c:pt>
                <c:pt idx="8">
                  <c:v>130.21</c:v>
                </c:pt>
                <c:pt idx="9">
                  <c:v>140.1</c:v>
                </c:pt>
                <c:pt idx="10">
                  <c:v>149.97</c:v>
                </c:pt>
                <c:pt idx="11">
                  <c:v>160.31</c:v>
                </c:pt>
                <c:pt idx="12">
                  <c:v>169.87</c:v>
                </c:pt>
                <c:pt idx="13">
                  <c:v>179.79</c:v>
                </c:pt>
                <c:pt idx="14">
                  <c:v>189.9</c:v>
                </c:pt>
                <c:pt idx="15">
                  <c:v>199.96</c:v>
                </c:pt>
              </c:numCache>
            </c:numRef>
          </c:xVal>
          <c:yVal>
            <c:numRef>
              <c:f>Transformer!$C$10:$R$10</c:f>
              <c:numCache>
                <c:formatCode>0.00</c:formatCode>
                <c:ptCount val="16"/>
                <c:pt idx="0">
                  <c:v>1.0255000000000001</c:v>
                </c:pt>
                <c:pt idx="1">
                  <c:v>1.2341</c:v>
                </c:pt>
                <c:pt idx="2">
                  <c:v>1.4458</c:v>
                </c:pt>
                <c:pt idx="3">
                  <c:v>1.6536999999999999</c:v>
                </c:pt>
                <c:pt idx="4">
                  <c:v>1.8705000000000001</c:v>
                </c:pt>
                <c:pt idx="5">
                  <c:v>2.0888</c:v>
                </c:pt>
                <c:pt idx="6">
                  <c:v>2.3151999999999999</c:v>
                </c:pt>
                <c:pt idx="7">
                  <c:v>2.5482</c:v>
                </c:pt>
                <c:pt idx="8">
                  <c:v>2.7856999999999998</c:v>
                </c:pt>
                <c:pt idx="9">
                  <c:v>3.0339</c:v>
                </c:pt>
                <c:pt idx="10">
                  <c:v>3.2879</c:v>
                </c:pt>
                <c:pt idx="11">
                  <c:v>3.5510000000000002</c:v>
                </c:pt>
                <c:pt idx="12">
                  <c:v>3.8260999999999998</c:v>
                </c:pt>
                <c:pt idx="13">
                  <c:v>4.1135000000000002</c:v>
                </c:pt>
                <c:pt idx="14">
                  <c:v>4.4169999999999998</c:v>
                </c:pt>
                <c:pt idx="15">
                  <c:v>4.7300000000000004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DC-41D4-9D4E-49C17FE29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711944"/>
        <c:axId val="531713384"/>
      </c:scatterChart>
      <c:scatterChart>
        <c:scatterStyle val="lineMarker"/>
        <c:varyColors val="0"/>
        <c:ser>
          <c:idx val="2"/>
          <c:order val="2"/>
          <c:tx>
            <c:strRef>
              <c:f>Transformer!$B$11</c:f>
              <c:strCache>
                <c:ptCount val="1"/>
                <c:pt idx="0">
                  <c:v>Turns ratio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Transformer!$C$8:$R$8</c:f>
              <c:numCache>
                <c:formatCode>0.00</c:formatCode>
                <c:ptCount val="16"/>
                <c:pt idx="0">
                  <c:v>49.92</c:v>
                </c:pt>
                <c:pt idx="1">
                  <c:v>59.783999999999999</c:v>
                </c:pt>
                <c:pt idx="2">
                  <c:v>69.911000000000001</c:v>
                </c:pt>
                <c:pt idx="3">
                  <c:v>80</c:v>
                </c:pt>
                <c:pt idx="4">
                  <c:v>89.82</c:v>
                </c:pt>
                <c:pt idx="5">
                  <c:v>100</c:v>
                </c:pt>
                <c:pt idx="6">
                  <c:v>110.02</c:v>
                </c:pt>
                <c:pt idx="7">
                  <c:v>119.93</c:v>
                </c:pt>
                <c:pt idx="8">
                  <c:v>130.21</c:v>
                </c:pt>
                <c:pt idx="9">
                  <c:v>140.1</c:v>
                </c:pt>
                <c:pt idx="10">
                  <c:v>149.97</c:v>
                </c:pt>
                <c:pt idx="11">
                  <c:v>160.31</c:v>
                </c:pt>
                <c:pt idx="12">
                  <c:v>169.87</c:v>
                </c:pt>
                <c:pt idx="13">
                  <c:v>179.79</c:v>
                </c:pt>
                <c:pt idx="14">
                  <c:v>189.9</c:v>
                </c:pt>
                <c:pt idx="15">
                  <c:v>199.96</c:v>
                </c:pt>
              </c:numCache>
            </c:numRef>
          </c:xVal>
          <c:yVal>
            <c:numRef>
              <c:f>Transformer!$C$11:$R$11</c:f>
              <c:numCache>
                <c:formatCode>0.00</c:formatCode>
                <c:ptCount val="16"/>
                <c:pt idx="0">
                  <c:v>18.682820185826198</c:v>
                </c:pt>
                <c:pt idx="1">
                  <c:v>18.68998939875814</c:v>
                </c:pt>
                <c:pt idx="2">
                  <c:v>18.672349218649103</c:v>
                </c:pt>
                <c:pt idx="3">
                  <c:v>18.696438665912943</c:v>
                </c:pt>
                <c:pt idx="4">
                  <c:v>18.703129687031296</c:v>
                </c:pt>
                <c:pt idx="5">
                  <c:v>18.879248011569054</c:v>
                </c:pt>
                <c:pt idx="6">
                  <c:v>18.904221441985793</c:v>
                </c:pt>
                <c:pt idx="7">
                  <c:v>18.923214020496065</c:v>
                </c:pt>
                <c:pt idx="8">
                  <c:v>18.93102276588515</c:v>
                </c:pt>
                <c:pt idx="9">
                  <c:v>18.964245530691336</c:v>
                </c:pt>
                <c:pt idx="10">
                  <c:v>18.976682442571857</c:v>
                </c:pt>
                <c:pt idx="11">
                  <c:v>18.9872740883328</c:v>
                </c:pt>
                <c:pt idx="12">
                  <c:v>18.996574152226799</c:v>
                </c:pt>
                <c:pt idx="13">
                  <c:v>19.001755358462677</c:v>
                </c:pt>
                <c:pt idx="14">
                  <c:v>19.033050372732365</c:v>
                </c:pt>
                <c:pt idx="15">
                  <c:v>19.041101404935393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DC-41D4-9D4E-49C17FE29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847120"/>
        <c:axId val="531724184"/>
      </c:scatterChart>
      <c:valAx>
        <c:axId val="531711944"/>
        <c:scaling>
          <c:orientation val="minMax"/>
          <c:max val="2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Frequency ([kHz]</a:t>
                </a:r>
              </a:p>
            </c:rich>
          </c:tx>
          <c:layout>
            <c:manualLayout>
              <c:xMode val="edge"/>
              <c:yMode val="edge"/>
              <c:x val="0.44795169834539911"/>
              <c:y val="0.92913590536558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13384"/>
        <c:crosses val="autoZero"/>
        <c:crossBetween val="midCat"/>
        <c:majorUnit val="25"/>
      </c:valAx>
      <c:valAx>
        <c:axId val="531713384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Votlage [V]</a:t>
                </a:r>
              </a:p>
            </c:rich>
          </c:tx>
          <c:layout>
            <c:manualLayout>
              <c:xMode val="edge"/>
              <c:yMode val="edge"/>
              <c:x val="8.6154056829852773E-3"/>
              <c:y val="0.340550815549170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11944"/>
        <c:crosses val="autoZero"/>
        <c:crossBetween val="midCat"/>
      </c:valAx>
      <c:valAx>
        <c:axId val="531724184"/>
        <c:scaling>
          <c:orientation val="minMax"/>
          <c:max val="21"/>
          <c:min val="17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Turns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847120"/>
        <c:crosses val="max"/>
        <c:crossBetween val="midCat"/>
        <c:majorUnit val="0.5"/>
      </c:valAx>
      <c:valAx>
        <c:axId val="34684712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531724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516261554262238"/>
          <c:y val="0.55849538306318958"/>
          <c:w val="0.10110447732494976"/>
          <c:h val="0.27065967728964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5</xdr:row>
      <xdr:rowOff>66675</xdr:rowOff>
    </xdr:from>
    <xdr:to>
      <xdr:col>4</xdr:col>
      <xdr:colOff>428625</xdr:colOff>
      <xdr:row>12</xdr:row>
      <xdr:rowOff>114300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7CF6398-AC6A-E24F-F6AD-C556341576C8}"/>
            </a:ext>
          </a:extLst>
        </xdr:cNvPr>
        <xdr:cNvCxnSpPr/>
      </xdr:nvCxnSpPr>
      <xdr:spPr>
        <a:xfrm flipV="1">
          <a:off x="1466850" y="1019175"/>
          <a:ext cx="1438275" cy="1381125"/>
        </a:xfrm>
        <a:prstGeom prst="straightConnector1">
          <a:avLst/>
        </a:prstGeom>
        <a:ln w="762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1</xdr:row>
      <xdr:rowOff>0</xdr:rowOff>
    </xdr:from>
    <xdr:to>
      <xdr:col>17</xdr:col>
      <xdr:colOff>304800</xdr:colOff>
      <xdr:row>25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D084A98-041B-4BFB-8592-8E44244AE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190500"/>
          <a:ext cx="7620000" cy="4572000"/>
        </a:xfrm>
        <a:prstGeom prst="rect">
          <a:avLst/>
        </a:prstGeom>
        <a:ln w="76200">
          <a:solidFill>
            <a:srgbClr val="00B050"/>
          </a:solidFill>
        </a:ln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17</xdr:col>
      <xdr:colOff>304800</xdr:colOff>
      <xdr:row>50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32CADAF-B00F-43D3-B40E-1E2647A29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4953000"/>
          <a:ext cx="7620000" cy="4572000"/>
        </a:xfrm>
        <a:prstGeom prst="rect">
          <a:avLst/>
        </a:prstGeom>
        <a:ln w="76200">
          <a:solidFill>
            <a:srgbClr val="FFC000"/>
          </a:solidFill>
        </a:ln>
      </xdr:spPr>
    </xdr:pic>
    <xdr:clientData/>
  </xdr:twoCellAnchor>
  <xdr:twoCellAnchor>
    <xdr:from>
      <xdr:col>3</xdr:col>
      <xdr:colOff>266700</xdr:colOff>
      <xdr:row>17</xdr:row>
      <xdr:rowOff>76200</xdr:rowOff>
    </xdr:from>
    <xdr:to>
      <xdr:col>4</xdr:col>
      <xdr:colOff>466725</xdr:colOff>
      <xdr:row>26</xdr:row>
      <xdr:rowOff>171450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D7BAEC7-2CAD-479A-AB49-BBF415D7AEFB}"/>
            </a:ext>
          </a:extLst>
        </xdr:cNvPr>
        <xdr:cNvCxnSpPr/>
      </xdr:nvCxnSpPr>
      <xdr:spPr>
        <a:xfrm>
          <a:off x="2133600" y="3314700"/>
          <a:ext cx="809625" cy="1809750"/>
        </a:xfrm>
        <a:prstGeom prst="straightConnector1">
          <a:avLst/>
        </a:prstGeom>
        <a:ln w="7620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15</xdr:col>
      <xdr:colOff>352425</xdr:colOff>
      <xdr:row>29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CDB1C6-30D4-416B-A84A-681302D37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390526</xdr:colOff>
      <xdr:row>32</xdr:row>
      <xdr:rowOff>47624</xdr:rowOff>
    </xdr:from>
    <xdr:ext cx="1866900" cy="618483"/>
    <xdr:pic>
      <xdr:nvPicPr>
        <xdr:cNvPr id="8" name="Picture 7">
          <a:extLst>
            <a:ext uri="{FF2B5EF4-FFF2-40B4-BE49-F238E27FC236}">
              <a16:creationId xmlns:a16="http://schemas.microsoft.com/office/drawing/2014/main" id="{BCF1D28C-9D05-45C1-AE5C-4832B2350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3301" y="6905624"/>
          <a:ext cx="1866900" cy="618483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32</xdr:row>
      <xdr:rowOff>47625</xdr:rowOff>
    </xdr:from>
    <xdr:ext cx="2429214" cy="704850"/>
    <xdr:pic>
      <xdr:nvPicPr>
        <xdr:cNvPr id="9" name="Picture 8">
          <a:extLst>
            <a:ext uri="{FF2B5EF4-FFF2-40B4-BE49-F238E27FC236}">
              <a16:creationId xmlns:a16="http://schemas.microsoft.com/office/drawing/2014/main" id="{36C7EFF4-A262-4DD0-A1EE-E1C4385B25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1917"/>
        <a:stretch>
          <a:fillRect/>
        </a:stretch>
      </xdr:blipFill>
      <xdr:spPr>
        <a:xfrm>
          <a:off x="628650" y="619125"/>
          <a:ext cx="2429214" cy="7048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1_Engineering\01_Projects\14_450_V_Module_Isol\01_Calc\notes.xlsx" TargetMode="External"/><Relationship Id="rId1" Type="http://schemas.openxmlformats.org/officeDocument/2006/relationships/externalLinkPath" Target="/01_Engineering/01_Projects/14_450_V_Module_Isol/01_Calc/no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former"/>
      <sheetName val="Waveforms"/>
      <sheetName val="UC calc"/>
      <sheetName val="Rdiv"/>
      <sheetName val="trafo"/>
      <sheetName val="Sheet1"/>
    </sheetNames>
    <sheetDataSet>
      <sheetData sheetId="0"/>
      <sheetData sheetId="1"/>
      <sheetData sheetId="2"/>
      <sheetData sheetId="3"/>
      <sheetData sheetId="4">
        <row r="21">
          <cell r="C21">
            <v>49.92</v>
          </cell>
          <cell r="D21">
            <v>59.783999999999999</v>
          </cell>
          <cell r="E21">
            <v>69.911000000000001</v>
          </cell>
          <cell r="F21">
            <v>80</v>
          </cell>
          <cell r="G21">
            <v>89.82</v>
          </cell>
          <cell r="H21">
            <v>100</v>
          </cell>
          <cell r="I21">
            <v>110.02</v>
          </cell>
          <cell r="J21">
            <v>119.93</v>
          </cell>
          <cell r="K21">
            <v>130.21</v>
          </cell>
          <cell r="L21">
            <v>140.1</v>
          </cell>
          <cell r="M21">
            <v>149.97</v>
          </cell>
          <cell r="N21">
            <v>160.31</v>
          </cell>
          <cell r="O21">
            <v>169.87</v>
          </cell>
          <cell r="P21">
            <v>179.79</v>
          </cell>
          <cell r="Q21">
            <v>189.9</v>
          </cell>
          <cell r="R21">
            <v>199.96</v>
          </cell>
        </row>
        <row r="22">
          <cell r="B22" t="str">
            <v>Vpri (V)</v>
          </cell>
          <cell r="C22">
            <v>5.4890000000000001E-2</v>
          </cell>
          <cell r="D22">
            <v>6.6030000000000005E-2</v>
          </cell>
          <cell r="E22">
            <v>7.7429999999999999E-2</v>
          </cell>
          <cell r="F22">
            <v>8.8450000000000001E-2</v>
          </cell>
          <cell r="G22">
            <v>0.10001</v>
          </cell>
          <cell r="H22">
            <v>0.11064</v>
          </cell>
          <cell r="I22">
            <v>0.12247</v>
          </cell>
          <cell r="J22">
            <v>0.13466</v>
          </cell>
          <cell r="K22">
            <v>0.14715</v>
          </cell>
          <cell r="L22">
            <v>0.15998000000000001</v>
          </cell>
          <cell r="M22">
            <v>0.17326</v>
          </cell>
          <cell r="N22">
            <v>0.18701999999999999</v>
          </cell>
          <cell r="O22">
            <v>0.20141000000000001</v>
          </cell>
          <cell r="P22">
            <v>0.21648000000000001</v>
          </cell>
          <cell r="Q22">
            <v>0.23207</v>
          </cell>
          <cell r="R22">
            <v>0.24840999999999999</v>
          </cell>
        </row>
        <row r="23">
          <cell r="B23" t="str">
            <v>Vsec (V)</v>
          </cell>
          <cell r="C23">
            <v>1.0255000000000001</v>
          </cell>
          <cell r="D23">
            <v>1.2341</v>
          </cell>
          <cell r="E23">
            <v>1.4458</v>
          </cell>
          <cell r="F23">
            <v>1.6536999999999999</v>
          </cell>
          <cell r="G23">
            <v>1.8705000000000001</v>
          </cell>
          <cell r="H23">
            <v>2.0888</v>
          </cell>
          <cell r="I23">
            <v>2.3151999999999999</v>
          </cell>
          <cell r="J23">
            <v>2.5482</v>
          </cell>
          <cell r="K23">
            <v>2.7856999999999998</v>
          </cell>
          <cell r="L23">
            <v>3.0339</v>
          </cell>
          <cell r="M23">
            <v>3.2879</v>
          </cell>
          <cell r="N23">
            <v>3.5510000000000002</v>
          </cell>
          <cell r="O23">
            <v>3.8260999999999998</v>
          </cell>
          <cell r="P23">
            <v>4.1135000000000002</v>
          </cell>
          <cell r="Q23">
            <v>4.4169999999999998</v>
          </cell>
          <cell r="R23">
            <v>4.7300000000000004</v>
          </cell>
        </row>
        <row r="24">
          <cell r="B24" t="str">
            <v>Ratio</v>
          </cell>
          <cell r="C24">
            <v>18.682820185826198</v>
          </cell>
          <cell r="D24">
            <v>18.68998939875814</v>
          </cell>
          <cell r="E24">
            <v>18.672349218649103</v>
          </cell>
          <cell r="F24">
            <v>18.696438665912943</v>
          </cell>
          <cell r="G24">
            <v>18.703129687031296</v>
          </cell>
          <cell r="H24">
            <v>18.879248011569054</v>
          </cell>
          <cell r="I24">
            <v>18.904221441985793</v>
          </cell>
          <cell r="J24">
            <v>18.923214020496065</v>
          </cell>
          <cell r="K24">
            <v>18.93102276588515</v>
          </cell>
          <cell r="L24">
            <v>18.964245530691336</v>
          </cell>
          <cell r="M24">
            <v>18.976682442571857</v>
          </cell>
          <cell r="N24">
            <v>18.9872740883328</v>
          </cell>
          <cell r="O24">
            <v>18.996574152226799</v>
          </cell>
          <cell r="P24">
            <v>19.001755358462677</v>
          </cell>
          <cell r="Q24">
            <v>19.033050372732365</v>
          </cell>
          <cell r="R24">
            <v>19.041101404935393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17D67-DF90-46E0-85A1-A1B62648C358}">
  <dimension ref="B2:E26"/>
  <sheetViews>
    <sheetView workbookViewId="0">
      <selection activeCell="B11" sqref="B11"/>
    </sheetView>
  </sheetViews>
  <sheetFormatPr defaultRowHeight="15" x14ac:dyDescent="0.25"/>
  <cols>
    <col min="3" max="3" width="9.7109375" bestFit="1" customWidth="1"/>
  </cols>
  <sheetData>
    <row r="2" spans="2:4" x14ac:dyDescent="0.25">
      <c r="B2" s="8" t="s">
        <v>0</v>
      </c>
      <c r="C2" s="8" t="s">
        <v>1</v>
      </c>
    </row>
    <row r="3" spans="2:4" x14ac:dyDescent="0.25">
      <c r="B3" s="4">
        <v>1</v>
      </c>
      <c r="C3" s="4" t="s">
        <v>2</v>
      </c>
    </row>
    <row r="4" spans="2:4" x14ac:dyDescent="0.25">
      <c r="B4" s="5">
        <v>2</v>
      </c>
      <c r="C4" s="5" t="s">
        <v>5</v>
      </c>
    </row>
    <row r="5" spans="2:4" x14ac:dyDescent="0.25">
      <c r="B5" s="6">
        <v>3</v>
      </c>
      <c r="C5" s="6" t="s">
        <v>3</v>
      </c>
    </row>
    <row r="6" spans="2:4" x14ac:dyDescent="0.25">
      <c r="B6" s="7">
        <v>4</v>
      </c>
      <c r="C6" s="7" t="s">
        <v>4</v>
      </c>
    </row>
    <row r="14" spans="2:4" x14ac:dyDescent="0.25">
      <c r="B14" s="8" t="s">
        <v>9</v>
      </c>
      <c r="C14" s="3">
        <v>11.66</v>
      </c>
      <c r="D14" s="2">
        <v>0.87</v>
      </c>
    </row>
    <row r="15" spans="2:4" x14ac:dyDescent="0.25">
      <c r="B15" s="8" t="s">
        <v>6</v>
      </c>
      <c r="C15" s="3">
        <v>12</v>
      </c>
      <c r="D15" s="2">
        <v>12</v>
      </c>
    </row>
    <row r="16" spans="2:4" x14ac:dyDescent="0.25">
      <c r="B16" s="8" t="s">
        <v>7</v>
      </c>
      <c r="C16" s="3">
        <v>245</v>
      </c>
      <c r="D16" s="2">
        <v>230</v>
      </c>
    </row>
    <row r="17" spans="2:5" x14ac:dyDescent="0.25">
      <c r="B17" s="8" t="s">
        <v>8</v>
      </c>
      <c r="C17" s="3">
        <v>0.55000000000000004</v>
      </c>
      <c r="D17" s="2">
        <v>7.11</v>
      </c>
    </row>
    <row r="24" spans="2:5" x14ac:dyDescent="0.25">
      <c r="B24" s="1"/>
      <c r="C24" s="1"/>
      <c r="D24" s="1"/>
      <c r="E24" s="1"/>
    </row>
    <row r="25" spans="2:5" x14ac:dyDescent="0.25">
      <c r="B25" s="1"/>
      <c r="C25" s="1"/>
      <c r="D25" s="1"/>
      <c r="E25" s="1"/>
    </row>
    <row r="26" spans="2:5" x14ac:dyDescent="0.25">
      <c r="B26" s="1"/>
      <c r="C26" s="1"/>
      <c r="D26" s="1"/>
      <c r="E2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6CAC-F136-4619-A629-7274FA22F420}">
  <dimension ref="B3:R44"/>
  <sheetViews>
    <sheetView tabSelected="1" workbookViewId="0">
      <selection activeCell="G4" sqref="G3:G4"/>
    </sheetView>
  </sheetViews>
  <sheetFormatPr defaultRowHeight="15" x14ac:dyDescent="0.25"/>
  <cols>
    <col min="2" max="2" width="25.140625" bestFit="1" customWidth="1"/>
    <col min="3" max="4" width="13" style="1" customWidth="1"/>
    <col min="5" max="5" width="16.42578125" style="1" customWidth="1"/>
  </cols>
  <sheetData>
    <row r="3" spans="2:18" s="15" customFormat="1" x14ac:dyDescent="0.25">
      <c r="B3" s="19" t="s">
        <v>12</v>
      </c>
      <c r="C3" s="16" t="s">
        <v>14</v>
      </c>
      <c r="D3" s="16" t="s">
        <v>14</v>
      </c>
      <c r="E3" s="18" t="s">
        <v>15</v>
      </c>
      <c r="F3" s="14"/>
      <c r="K3" s="14"/>
      <c r="L3" s="14"/>
      <c r="M3" s="14"/>
      <c r="N3" s="14"/>
      <c r="O3" s="14"/>
      <c r="P3" s="14"/>
      <c r="Q3" s="14"/>
      <c r="R3" s="14"/>
    </row>
    <row r="4" spans="2:18" x14ac:dyDescent="0.25">
      <c r="B4" s="19" t="s">
        <v>18</v>
      </c>
      <c r="C4" s="16">
        <v>1.02</v>
      </c>
      <c r="D4" s="16">
        <v>2.5270000000000001</v>
      </c>
      <c r="E4" s="16">
        <v>1.02</v>
      </c>
      <c r="F4" s="10"/>
      <c r="K4" s="10"/>
      <c r="L4" s="10"/>
      <c r="M4" s="10"/>
      <c r="N4" s="10"/>
      <c r="O4" s="10"/>
      <c r="P4" s="10"/>
      <c r="Q4" s="10"/>
      <c r="R4" s="10"/>
    </row>
    <row r="5" spans="2:18" x14ac:dyDescent="0.25">
      <c r="B5" s="19" t="s">
        <v>16</v>
      </c>
      <c r="C5" s="16">
        <v>7.6</v>
      </c>
      <c r="D5" s="16">
        <v>18.899999999999999</v>
      </c>
      <c r="E5" s="16">
        <v>475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2:18" x14ac:dyDescent="0.25">
      <c r="B6" s="20" t="s">
        <v>17</v>
      </c>
      <c r="C6" s="17">
        <f>C5/C4</f>
        <v>7.450980392156862</v>
      </c>
      <c r="D6" s="17">
        <f>D5/D4</f>
        <v>7.4792243767313007</v>
      </c>
      <c r="E6" s="17">
        <f>E5/E4</f>
        <v>465.68627450980392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8" spans="2:18" x14ac:dyDescent="0.25">
      <c r="B8" s="12" t="s">
        <v>21</v>
      </c>
      <c r="C8" s="10">
        <v>49.92</v>
      </c>
      <c r="D8" s="10">
        <v>59.783999999999999</v>
      </c>
      <c r="E8" s="10">
        <v>69.911000000000001</v>
      </c>
      <c r="F8" s="10">
        <v>80</v>
      </c>
      <c r="G8" s="10">
        <v>89.82</v>
      </c>
      <c r="H8" s="10">
        <v>100</v>
      </c>
      <c r="I8" s="10">
        <v>110.02</v>
      </c>
      <c r="J8" s="10">
        <v>119.93</v>
      </c>
      <c r="K8" s="10">
        <v>130.21</v>
      </c>
      <c r="L8" s="10">
        <v>140.1</v>
      </c>
      <c r="M8" s="10">
        <v>149.97</v>
      </c>
      <c r="N8" s="10">
        <v>160.31</v>
      </c>
      <c r="O8" s="10">
        <v>169.87</v>
      </c>
      <c r="P8" s="10">
        <v>179.79</v>
      </c>
      <c r="Q8" s="10">
        <v>189.9</v>
      </c>
      <c r="R8" s="10">
        <v>199.96</v>
      </c>
    </row>
    <row r="9" spans="2:18" x14ac:dyDescent="0.25">
      <c r="B9" s="12" t="s">
        <v>19</v>
      </c>
      <c r="C9" s="10">
        <v>5.4890000000000001E-2</v>
      </c>
      <c r="D9" s="10">
        <v>6.6030000000000005E-2</v>
      </c>
      <c r="E9" s="10">
        <v>7.7429999999999999E-2</v>
      </c>
      <c r="F9" s="10">
        <v>8.8450000000000001E-2</v>
      </c>
      <c r="G9" s="10">
        <v>0.10001</v>
      </c>
      <c r="H9" s="10">
        <v>0.11064</v>
      </c>
      <c r="I9" s="10">
        <v>0.12247</v>
      </c>
      <c r="J9" s="10">
        <v>0.13466</v>
      </c>
      <c r="K9" s="10">
        <v>0.14715</v>
      </c>
      <c r="L9" s="10">
        <v>0.15998000000000001</v>
      </c>
      <c r="M9" s="10">
        <v>0.17326</v>
      </c>
      <c r="N9" s="10">
        <v>0.18701999999999999</v>
      </c>
      <c r="O9" s="10">
        <v>0.20141000000000001</v>
      </c>
      <c r="P9" s="10">
        <v>0.21648000000000001</v>
      </c>
      <c r="Q9" s="10">
        <v>0.23207</v>
      </c>
      <c r="R9" s="10">
        <v>0.24840999999999999</v>
      </c>
    </row>
    <row r="10" spans="2:18" x14ac:dyDescent="0.25">
      <c r="B10" s="12" t="s">
        <v>20</v>
      </c>
      <c r="C10" s="10">
        <v>1.0255000000000001</v>
      </c>
      <c r="D10" s="10">
        <v>1.2341</v>
      </c>
      <c r="E10" s="10">
        <v>1.4458</v>
      </c>
      <c r="F10" s="10">
        <v>1.6536999999999999</v>
      </c>
      <c r="G10" s="10">
        <v>1.8705000000000001</v>
      </c>
      <c r="H10" s="10">
        <v>2.0888</v>
      </c>
      <c r="I10" s="10">
        <v>2.3151999999999999</v>
      </c>
      <c r="J10" s="10">
        <v>2.5482</v>
      </c>
      <c r="K10" s="10">
        <v>2.7856999999999998</v>
      </c>
      <c r="L10" s="10">
        <v>3.0339</v>
      </c>
      <c r="M10" s="10">
        <v>3.2879</v>
      </c>
      <c r="N10" s="10">
        <v>3.5510000000000002</v>
      </c>
      <c r="O10" s="10">
        <v>3.8260999999999998</v>
      </c>
      <c r="P10" s="10">
        <v>4.1135000000000002</v>
      </c>
      <c r="Q10" s="10">
        <v>4.4169999999999998</v>
      </c>
      <c r="R10" s="10">
        <v>4.7300000000000004</v>
      </c>
    </row>
    <row r="11" spans="2:18" x14ac:dyDescent="0.25">
      <c r="B11" s="12" t="s">
        <v>22</v>
      </c>
      <c r="C11" s="10">
        <f>C10/C9</f>
        <v>18.682820185826198</v>
      </c>
      <c r="D11" s="10">
        <f>D10/D9</f>
        <v>18.68998939875814</v>
      </c>
      <c r="E11" s="10">
        <f>E10/E9</f>
        <v>18.672349218649103</v>
      </c>
      <c r="F11" s="10">
        <f>F10/F9</f>
        <v>18.696438665912943</v>
      </c>
      <c r="G11" s="10">
        <f>G10/G9</f>
        <v>18.703129687031296</v>
      </c>
      <c r="H11" s="10">
        <f>H10/H9</f>
        <v>18.879248011569054</v>
      </c>
      <c r="I11" s="10">
        <f>I10/I9</f>
        <v>18.904221441985793</v>
      </c>
      <c r="J11" s="10">
        <f>J10/J9</f>
        <v>18.923214020496065</v>
      </c>
      <c r="K11" s="10">
        <f>K10/K9</f>
        <v>18.93102276588515</v>
      </c>
      <c r="L11" s="10">
        <f>L10/L9</f>
        <v>18.964245530691336</v>
      </c>
      <c r="M11" s="10">
        <f>M10/M9</f>
        <v>18.976682442571857</v>
      </c>
      <c r="N11" s="10">
        <f>N10/N9</f>
        <v>18.9872740883328</v>
      </c>
      <c r="O11" s="10">
        <f>O10/O9</f>
        <v>18.996574152226799</v>
      </c>
      <c r="P11" s="10">
        <f>P10/P9</f>
        <v>19.001755358462677</v>
      </c>
      <c r="Q11" s="10">
        <f>Q10/Q9</f>
        <v>19.033050372732365</v>
      </c>
      <c r="R11" s="10">
        <f>R10/R9</f>
        <v>19.041101404935393</v>
      </c>
    </row>
    <row r="32" spans="2:6" x14ac:dyDescent="0.25">
      <c r="B32" s="12" t="s">
        <v>23</v>
      </c>
      <c r="C32"/>
      <c r="D32"/>
      <c r="E32" s="9"/>
      <c r="F32" s="10"/>
    </row>
    <row r="33" spans="2:9" x14ac:dyDescent="0.25">
      <c r="C33"/>
      <c r="D33"/>
      <c r="F33" s="10"/>
    </row>
    <row r="34" spans="2:9" x14ac:dyDescent="0.25">
      <c r="C34"/>
      <c r="D34"/>
      <c r="F34" s="10"/>
    </row>
    <row r="35" spans="2:9" x14ac:dyDescent="0.25">
      <c r="C35"/>
      <c r="D35"/>
      <c r="E35" s="9"/>
      <c r="F35" s="11"/>
    </row>
    <row r="36" spans="2:9" x14ac:dyDescent="0.25">
      <c r="C36"/>
      <c r="D36"/>
      <c r="E36"/>
    </row>
    <row r="37" spans="2:9" x14ac:dyDescent="0.25">
      <c r="C37"/>
      <c r="D37"/>
      <c r="E37"/>
    </row>
    <row r="38" spans="2:9" x14ac:dyDescent="0.25">
      <c r="B38" s="8" t="s">
        <v>25</v>
      </c>
      <c r="C38" s="8" t="s">
        <v>26</v>
      </c>
      <c r="D38" s="8" t="s">
        <v>24</v>
      </c>
      <c r="E38" s="8" t="s">
        <v>27</v>
      </c>
      <c r="F38" s="8" t="s">
        <v>12</v>
      </c>
      <c r="G38" s="8" t="s">
        <v>28</v>
      </c>
      <c r="H38" s="8" t="s">
        <v>13</v>
      </c>
      <c r="I38" s="13" t="s">
        <v>29</v>
      </c>
    </row>
    <row r="39" spans="2:9" x14ac:dyDescent="0.25">
      <c r="B39" s="10">
        <f>AVERAGE(C6:D6)</f>
        <v>7.4651023844440818</v>
      </c>
      <c r="C39" s="1">
        <v>8.5000000000000006E-2</v>
      </c>
      <c r="D39" s="1">
        <v>267</v>
      </c>
      <c r="E39" s="10">
        <f>1000000*(1/(0.000001*C39)+SQRT(1/(0.000001*C39)^2-8*(PI()*1000*D39)^2*(B39*0.001)^4))/(8*(PI()*1000*D39)^2)</f>
        <v>4.1802168818693533</v>
      </c>
      <c r="F39" s="1" t="s">
        <v>10</v>
      </c>
      <c r="G39" s="1"/>
      <c r="H39" s="1"/>
      <c r="I39" s="1"/>
    </row>
    <row r="40" spans="2:9" x14ac:dyDescent="0.25">
      <c r="B40" s="10">
        <f>B39</f>
        <v>7.4651023844440818</v>
      </c>
      <c r="C40" s="1">
        <v>0.88</v>
      </c>
      <c r="D40" s="1">
        <v>90</v>
      </c>
      <c r="E40" s="10">
        <f>1000000*(1/(0.000001*C40)+SQRT(1/(0.000001*C40)^2-8*(PI()*1000*D40)^2*(B40*0.001)^4))/(8*(PI()*1000*D40)^2)</f>
        <v>3.5536329827222719</v>
      </c>
      <c r="F40" s="1" t="s">
        <v>10</v>
      </c>
      <c r="G40" s="10">
        <f>AVERAGE(E39:E41)</f>
        <v>3.7548215004810839</v>
      </c>
      <c r="H40" s="1"/>
      <c r="I40" s="1"/>
    </row>
    <row r="41" spans="2:9" x14ac:dyDescent="0.25">
      <c r="B41" s="10">
        <f>B39</f>
        <v>7.4651023844440818</v>
      </c>
      <c r="C41" s="1">
        <v>5</v>
      </c>
      <c r="D41" s="1">
        <v>37.880000000000003</v>
      </c>
      <c r="E41" s="10">
        <f>1000000*(1/(0.000001*C41)+SQRT(1/(0.000001*C41)^2-8*(PI()*1000*D41)^2*(B41*0.001)^4))/(8*(PI()*1000*D41)^2)</f>
        <v>3.5306146368516265</v>
      </c>
      <c r="F41" s="1" t="s">
        <v>10</v>
      </c>
      <c r="G41" s="10">
        <f>AVERAGE(E40:E41)</f>
        <v>3.5421238097869492</v>
      </c>
      <c r="H41" s="1"/>
      <c r="I41" s="1"/>
    </row>
    <row r="42" spans="2:9" x14ac:dyDescent="0.25">
      <c r="B42" s="10">
        <f>E6</f>
        <v>465.68627450980392</v>
      </c>
      <c r="C42" s="1">
        <v>5</v>
      </c>
      <c r="D42" s="1">
        <v>1.9530000000000001</v>
      </c>
      <c r="E42" s="10">
        <f>1000000*(1/(0.000001*C42)+SQRT(1/(0.000001*C42)^2-8*(PI()*1000*D42)^2*(B42*0.001)^4))/(8*(PI()*1000*D42)^2)</f>
        <v>1328.0894382180461</v>
      </c>
      <c r="F42" s="1" t="s">
        <v>11</v>
      </c>
      <c r="G42" s="1"/>
      <c r="H42" s="1"/>
      <c r="I42" s="1"/>
    </row>
    <row r="43" spans="2:9" x14ac:dyDescent="0.25">
      <c r="B43" s="10">
        <f>B42</f>
        <v>465.68627450980392</v>
      </c>
      <c r="C43" s="1">
        <v>8.5000000000000006E-2</v>
      </c>
      <c r="D43" s="1">
        <v>14.28</v>
      </c>
      <c r="E43" s="10">
        <f>1000000*(1/(0.000001*C43)+SQRT(1/(0.000001*C43)^2-8*(PI()*1000*D43)^2*(B43*0.001)^4))/(8*(PI()*1000*D43)^2)</f>
        <v>1461.3839345276731</v>
      </c>
      <c r="F43" s="1" t="s">
        <v>11</v>
      </c>
      <c r="G43" s="10">
        <f>AVERAGE(E42:E44)</f>
        <v>1411.3083278613947</v>
      </c>
      <c r="H43" s="10">
        <f>G43/G40</f>
        <v>375.86562441931574</v>
      </c>
      <c r="I43" s="10">
        <f>SQRT(H43)</f>
        <v>19.387254174310392</v>
      </c>
    </row>
    <row r="44" spans="2:9" x14ac:dyDescent="0.25">
      <c r="B44" s="10">
        <f>B42</f>
        <v>465.68627450980392</v>
      </c>
      <c r="C44" s="1">
        <v>0.88</v>
      </c>
      <c r="D44" s="1">
        <v>4.4640000000000004</v>
      </c>
      <c r="E44" s="10">
        <f>1000000*(1/(0.000001*C44)+SQRT(1/(0.000001*C44)^2-8*(PI()*1000*D44)^2*(B44*0.001)^4))/(8*(PI()*1000*D44)^2)</f>
        <v>1444.4516108384646</v>
      </c>
      <c r="F44" s="1" t="s">
        <v>11</v>
      </c>
      <c r="G44" s="10">
        <f>AVERAGE(E43:E44)</f>
        <v>1452.917772683069</v>
      </c>
      <c r="H44" s="10">
        <f>G44/G41</f>
        <v>410.18266178856652</v>
      </c>
      <c r="I44" s="10">
        <f>SQRT(H44)</f>
        <v>20.252966740420192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Waveforms</vt:lpstr>
      <vt:lpstr>Transformer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Lopasso Rodrigues</dc:creator>
  <cp:lastModifiedBy>Felipe Lopasso Rodrigues</cp:lastModifiedBy>
  <dcterms:created xsi:type="dcterms:W3CDTF">2026-01-15T06:55:14Z</dcterms:created>
  <dcterms:modified xsi:type="dcterms:W3CDTF">2026-01-16T19:30:08Z</dcterms:modified>
</cp:coreProperties>
</file>